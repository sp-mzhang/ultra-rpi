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pho\SiPhox Dropbox\New Dropbox\R&amp;D\Assay Development\Projects\Lane 4 (ApoB, ApoA-1, CRP, Cortisol)\Lane 4 Dan\Lane 4 197 020325 crp prot in dep srm\"/>
    </mc:Choice>
  </mc:AlternateContent>
  <xr:revisionPtr revIDLastSave="0" documentId="13_ncr:1_{7F67485D-EA42-4B5E-A2D9-B109072CEE53}" xr6:coauthVersionLast="47" xr6:coauthVersionMax="47" xr10:uidLastSave="{00000000-0000-0000-0000-000000000000}"/>
  <bookViews>
    <workbookView xWindow="-110" yWindow="-110" windowWidth="19420" windowHeight="11500" xr2:uid="{82E55E76-5238-0F4D-8265-0081F27D1618}"/>
  </bookViews>
  <sheets>
    <sheet name="Rules" sheetId="10" r:id="rId1"/>
    <sheet name="Rule 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<sst xmlns="http://schemas.openxmlformats.org/spreadsheetml/2006/main" count="60" uniqueCount="36">
  <si>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Rule name</t>
  </si>
  <si>
    <t>Statistic</t>
  </si>
  <si>
    <t>Statistic Parameter</t>
  </si>
  <si>
    <t>Step</t>
  </si>
  <si>
    <t>Window offset (secs)</t>
  </si>
  <si>
    <t>Window length (secs)</t>
  </si>
  <si>
    <t>Min value</t>
  </si>
  <si>
    <t>Max value</t>
  </si>
  <si>
    <t>Rings</t>
  </si>
  <si>
    <t>Average rings</t>
  </si>
  <si>
    <t>Exclude cartridge</t>
  </si>
  <si>
    <t>Rings excluded</t>
  </si>
  <si>
    <t>Assay specific</t>
  </si>
  <si>
    <r>
      <t>Temp shift between 50 and 150 pm net shift</t>
    </r>
    <r>
      <rPr>
        <b/>
        <sz val="12"/>
        <color theme="1"/>
        <rFont val="Aptos Narrow"/>
        <family val="2"/>
        <scheme val="minor"/>
      </rPr>
      <t xml:space="preserve"> (maybe could be tightened)</t>
    </r>
  </si>
  <si>
    <t>Signal difference</t>
  </si>
  <si>
    <t>Net shift</t>
  </si>
  <si>
    <r>
      <t xml:space="preserve">PBST to Buffer 4.21 net shift near 500pm: positive control for fluidics and photonics. </t>
    </r>
    <r>
      <rPr>
        <b/>
        <sz val="12"/>
        <color theme="1"/>
        <rFont val="Aptos Narrow"/>
        <family val="2"/>
        <scheme val="minor"/>
      </rPr>
      <t>Use only if air slug is removed.</t>
    </r>
  </si>
  <si>
    <t>2,3,4,5,6,7,8,9,10,11,12,13,14,15</t>
  </si>
  <si>
    <t>CV</t>
  </si>
  <si>
    <t>hsCRP</t>
  </si>
  <si>
    <t>Available rules</t>
  </si>
  <si>
    <t>Truth values</t>
  </si>
  <si>
    <t>Signal range</t>
  </si>
  <si>
    <t>R-Squared</t>
  </si>
  <si>
    <t>Pearson R</t>
  </si>
  <si>
    <t>Slope</t>
  </si>
  <si>
    <t>Number of points</t>
  </si>
  <si>
    <t>Change in slope</t>
  </si>
  <si>
    <t>No rule</t>
  </si>
  <si>
    <t>RMSD of slope</t>
  </si>
  <si>
    <t>MAD of slope</t>
  </si>
  <si>
    <t>Neg ctrl rings between -10 and 50 pm net shift</t>
  </si>
  <si>
    <t>4,11</t>
  </si>
  <si>
    <t>hsCRP CV between rings should be less than 40%.</t>
  </si>
  <si>
    <t>TIMING: cart_dispense_GNP (start)</t>
  </si>
  <si>
    <t>CRP rings greater than 0 pm net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</si>
</sst>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44DA-1D91-440E-85D5-3ED8E5A59B9B}">
  <dimension ref="A1:M8"/>
  <sheetViews>
    <sheetView tabSelected="1" zoomScaleNormal="100" workbookViewId="0">
      <pane ySplit="1" topLeftCell="A2" activePane="bottomLeft" state="frozen"/>
      <selection pane="bottomLeft" activeCell="D2" sqref="D2"/>
    </sheetView>
  </sheetViews>
  <sheetFormatPr defaultColWidth="10.5" defaultRowHeight="16" x14ac:dyDescent="0.4"/>
  <cols>
    <col min="1" max="1" width="45.08203125" style="2" customWidth="1"/>
    <col min="2" max="2" width="14.33203125" bestFit="1" customWidth="1"/>
    <col min="3" max="3" width="17.5" bestFit="1" customWidth="1"/>
    <col min="4" max="4" width="35.25" customWidth="1"/>
    <col min="5" max="5" width="18.5" bestFit="1" customWidth="1"/>
    <col min="6" max="6" width="22" bestFit="1" customWidth="1"/>
    <col min="7" max="7" width="12.83203125" customWidth="1"/>
    <col min="8" max="8" width="12.5" customWidth="1"/>
    <col min="9" max="9" width="27.83203125" bestFit="1" customWidth="1"/>
    <col min="10" max="10" width="12.33203125" bestFit="1" customWidth="1"/>
    <col min="11" max="11" width="15.33203125" bestFit="1" customWidth="1"/>
    <col min="12" max="12" width="13.5" bestFit="1" customWidth="1"/>
    <col min="13" max="13" width="13.08203125" bestFit="1" customWidth="1"/>
  </cols>
  <sheetData>
    <row r="1" spans="1:13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 ht="32" x14ac:dyDescent="0.4">
      <c r="A2" s="2" t="s">
        <v>13</v>
      </c>
      <c r="B2" t="s">
        <v>28</v>
      </c>
      <c r="C2" t="s">
        <v>15</v>
      </c>
      <c r="D2"/>
      <c r="E2">
        <v>0</v>
      </c>
      <c r="F2">
        <v>1500</v>
      </c>
      <c r="G2">
        <v>50</v>
      </c>
      <c r="H2">
        <v>150</v>
      </c>
      <c r="I2">
        <v>1</v>
      </c>
      <c r="J2"/>
      <c r="K2" t="b">
        <v>1</v>
      </c>
      <c r="L2"/>
      <c r="M2"/>
    </row>
    <row r="3" spans="1:13" s="1" customFormat="1" ht="48" x14ac:dyDescent="0.4">
      <c r="A3" s="2" t="s">
        <v>16</v>
      </c>
      <c r="B3" t="s">
        <v>28</v>
      </c>
      <c r="C3" t="s">
        <v>15</v>
      </c>
      <c r="D3">
        <v>4</v>
      </c>
      <c r="E3">
        <v>0</v>
      </c>
      <c r="F3">
        <v>100</v>
      </c>
      <c r="G3">
        <v>300</v>
      </c>
      <c r="H3">
        <v>700</v>
      </c>
      <c r="I3" t="s">
        <v>17</v>
      </c>
      <c r="J3" t="b">
        <v>1</v>
      </c>
      <c r="K3"/>
      <c r="L3"/>
      <c r="M3"/>
    </row>
    <row r="4" spans="1:13" x14ac:dyDescent="0.4">
      <c r="A4" s="3" t="s">
        <v>31</v>
      </c>
      <c r="B4" s="4" t="s">
        <v>14</v>
      </c>
      <c r="C4" s="4" t="s">
        <v>15</v>
      </c>
      <c r="D4" s="4" t="s">
        <v>34</v>
      </c>
      <c r="E4" s="4">
        <v>40</v>
      </c>
      <c r="F4" s="4">
        <v>170</v>
      </c>
      <c r="G4" s="4">
        <v>-10</v>
      </c>
      <c r="H4" s="4">
        <v>50</v>
      </c>
      <c r="I4" s="4">
        <v>3</v>
      </c>
      <c r="J4" s="4"/>
      <c r="K4" s="4" t="b">
        <v>0</v>
      </c>
      <c r="L4" s="4">
        <v>3</v>
      </c>
      <c r="M4" s="4" t="s">
        <v>19</v>
      </c>
    </row>
    <row r="5" spans="1:13" x14ac:dyDescent="0.4">
      <c r="A5" s="3" t="s">
        <v>31</v>
      </c>
      <c r="B5" s="4" t="s">
        <v>14</v>
      </c>
      <c r="C5" s="4" t="s">
        <v>15</v>
      </c>
      <c r="D5" s="4" t="s">
        <v>34</v>
      </c>
      <c r="E5" s="4">
        <v>40</v>
      </c>
      <c r="F5" s="4">
        <v>170</v>
      </c>
      <c r="G5" s="4">
        <v>-10</v>
      </c>
      <c r="H5" s="4">
        <v>50</v>
      </c>
      <c r="I5" s="4">
        <v>14</v>
      </c>
      <c r="J5" s="4"/>
      <c r="K5" s="4" t="b">
        <v>0</v>
      </c>
      <c r="L5" s="4">
        <v>14</v>
      </c>
      <c r="M5" s="4" t="s">
        <v>19</v>
      </c>
    </row>
    <row r="6" spans="1:13" x14ac:dyDescent="0.4">
      <c r="A6" s="3" t="s">
        <v>35</v>
      </c>
      <c r="B6" s="4" t="s">
        <v>14</v>
      </c>
      <c r="C6" s="4" t="s">
        <v>15</v>
      </c>
      <c r="D6" s="4" t="s">
        <v>34</v>
      </c>
      <c r="E6" s="4">
        <v>40</v>
      </c>
      <c r="F6" s="4">
        <v>170</v>
      </c>
      <c r="G6" s="4">
        <v>0</v>
      </c>
      <c r="H6" s="4"/>
      <c r="I6" s="4">
        <v>4</v>
      </c>
      <c r="J6" s="4"/>
      <c r="K6" s="4" t="b">
        <v>0</v>
      </c>
      <c r="L6" s="4">
        <v>4</v>
      </c>
      <c r="M6" s="4" t="s">
        <v>19</v>
      </c>
    </row>
    <row r="7" spans="1:13" x14ac:dyDescent="0.4">
      <c r="A7" s="3" t="s">
        <v>35</v>
      </c>
      <c r="B7" s="4" t="s">
        <v>14</v>
      </c>
      <c r="C7" s="4" t="s">
        <v>15</v>
      </c>
      <c r="D7" s="4" t="s">
        <v>34</v>
      </c>
      <c r="E7" s="4">
        <v>40</v>
      </c>
      <c r="F7" s="4">
        <v>170</v>
      </c>
      <c r="G7" s="4">
        <v>0</v>
      </c>
      <c r="H7" s="4"/>
      <c r="I7" s="4">
        <v>11</v>
      </c>
      <c r="J7" s="4"/>
      <c r="K7" s="4" t="b">
        <v>0</v>
      </c>
      <c r="L7" s="4">
        <v>11</v>
      </c>
      <c r="M7" s="4" t="s">
        <v>19</v>
      </c>
    </row>
    <row r="8" spans="1:13" x14ac:dyDescent="0.4">
      <c r="A8" s="3" t="s">
        <v>33</v>
      </c>
      <c r="B8" s="4" t="s">
        <v>18</v>
      </c>
      <c r="C8" s="4" t="s">
        <v>15</v>
      </c>
      <c r="D8" s="4" t="s">
        <v>34</v>
      </c>
      <c r="E8" s="4">
        <v>40</v>
      </c>
      <c r="F8" s="4">
        <v>170</v>
      </c>
      <c r="G8" s="4"/>
      <c r="H8" s="4">
        <v>0.4</v>
      </c>
      <c r="I8" s="4" t="s">
        <v>32</v>
      </c>
      <c r="J8" s="4"/>
      <c r="K8" s="4" t="b">
        <v>0</v>
      </c>
      <c r="L8" s="4" t="s">
        <v>32</v>
      </c>
      <c r="M8" s="4" t="s">
        <v>19</v>
      </c>
    </row>
  </sheetData>
  <dataValidations xWindow="1043" yWindow="593" count="8">
    <dataValidation allowBlank="1" showInputMessage="1" showErrorMessage="1" promptTitle="Rings to validate" prompt="Comma-separated list of rings to use for this rule.  If this is left blank, all rings are used._x000a_" sqref="L2:L5 I2:I5 I6:I1048576 L6:L8" xr:uid="{A4C4B995-B4B4-4731-9238-8948BBB538A0}"/>
    <dataValidation allowBlank="1" showInputMessage="1" showErrorMessage="1" promptTitle="Name for the validation rule" prompt="Enter a useful name for the validation rule." sqref="A2:A5 A6:A1048576" xr:uid="{C33F108A-B98B-4CAF-AA7E-A1FA4E1BBC8D}"/>
    <dataValidation allowBlank="1" showInputMessage="1" showErrorMessage="1" promptTitle="Protocol step for time window" prompt="Specify the protocol step (as a number) for the start of the time window.  If left blank, the time range is relative to the start of the experiment." sqref="D2:D5 D6:D1048576" xr:uid="{F52CFA6D-AD1D-4BC2-813A-0890F8D34440}"/>
    <dataValidation allowBlank="1" showInputMessage="1" showErrorMessage="1" promptTitle="Optional parameter of statistic" prompt="Some statistics (eg: change in signal) can take an optional parameter.  If left blank, this uses a default value._x000a__x000a_Change in signal: the % quantile of the change" sqref="C2:C5 C6:C1048576" xr:uid="{CF4E6004-F561-4713-B30C-FD71A89ACA1C}"/>
    <dataValidation operator="notBetween" allowBlank="1" showInputMessage="1" showErrorMessage="1" promptTitle="Window offset (seconds)" prompt="Offset from the step specified to the start of the window.  This can be negative._x000a__x000a_The validation window is defined by the inclusive range t0 to t1 where:_x000a_t0 = [start of step] + [Window offset (secs)]_x000a_t1 = t0 + [Window length (secs)]_x000a_" sqref="E2:E5 E6:E1048576" xr:uid="{17DEF916-39F6-49B7-AB6E-714297CFF7F4}"/>
    <dataValidation allowBlank="1" showInputMessage="1" showErrorMessage="1" promptTitle="Length of window" prompt="Length of the validation window from the start in seconds._x000a__x000a_The validation window is defined by the inclusive range t0 to t1 where:_x000a_t0 = [start of step] + [Window offset (secs)]_x000a_t1 = t0 + [Window length (secs)]_x000a_" sqref="F2:F5 F6:F1048576" xr:uid="{B9FDE605-DB05-4DC3-A8F1-491CE0873C89}"/>
    <dataValidation allowBlank="1" showInputMessage="1" showErrorMessage="1" promptTitle="Minimum value of statistic" prompt="Defines the minimum value of the statistic.  This can be left blank if there is no minimum value._x000a_" sqref="G2:G5 G6:G1048576" xr:uid="{D849F30F-9A31-4894-BFD3-D9110F73E7D6}"/>
    <dataValidation allowBlank="1" showInputMessage="1" showErrorMessage="1" promptTitle="Maximum value of statistic" prompt="Defines the maximum value of the statistic.  This can be left blank if there is no maximum value._x000a_" sqref="H2:H5 H6:H1048576" xr:uid="{6420139C-71DF-4B75-A913-7A8BC826A358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1043" yWindow="593" count="3">
        <x14:dataValidation type="list" allowBlank="1" showInputMessage="1" showErrorMessage="1" promptTitle="Average the rings" prompt="If TRUE this will average the rings before applying the rule.  If FALSE or blank, the rings are evaluated independently." xr:uid="{B818021B-70F6-4B37-A9C8-9D445B6BD1B2}">
          <x14:formula1>
            <xm:f>'Rule metadata'!$B$2:$B$3</xm:f>
          </x14:formula1>
          <xm:sqref>J2:J5 J8:J1048576</xm:sqref>
        </x14:dataValidation>
        <x14:dataValidation type="list" allowBlank="1" showInputMessage="1" showErrorMessage="1" promptTitle="Exclude rings or whole cartridge" prompt="If TRUE, failing this rule will exclude the entire cartridge from analysis.  If blank or FALSE, failing this rule will only exclude the listed rings from analysis." xr:uid="{6C0F1F9A-BFBD-40B8-9206-2FE65CCF9100}">
          <x14:formula1>
            <xm:f>'Rule metadata'!$B$2:$B$3</xm:f>
          </x14:formula1>
          <xm:sqref>K2:K5 K8:K1048576</xm:sqref>
        </x14:dataValidation>
        <x14:dataValidation type="list" allowBlank="1" showInputMessage="1" showErrorMessage="1" promptTitle="Statistic used for validation" prompt="Select one of the available statistics that can be used for validation.  The statistic is applied to the rings and time-range indicated in the rule." xr:uid="{53B1D05F-D813-4809-AD17-7190B781FBFA}">
          <x14:formula1>
            <xm:f>'Rule metadata'!$A$2:$A$10</xm:f>
          </x14:formula1>
          <xm:sqref>B2:B5 B8:B1048576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751EE-750D-0646-BCDB-0E563125CDA2}">
  <dimension ref="A1:B12"/>
  <sheetViews>
    <sheetView workbookViewId="0">
      <selection activeCell="A12" sqref="A12"/>
    </sheetView>
  </sheetViews>
  <sheetFormatPr defaultColWidth="10.5" defaultRowHeight="16" x14ac:dyDescent="0.4"/>
  <cols>
    <col min="1" max="1" width="14.83203125" bestFit="1" customWidth="1"/>
  </cols>
  <sheetData>
    <row r="1" spans="1:2" x14ac:dyDescent="0.4">
      <c r="A1" t="s">
        <v>20</v>
      </c>
      <c r="B1" t="s">
        <v>21</v>
      </c>
    </row>
    <row r="2" spans="1:2" x14ac:dyDescent="0.4">
      <c r="A2" t="s">
        <v>22</v>
      </c>
      <c r="B2" t="b">
        <v>1</v>
      </c>
    </row>
    <row r="3" spans="1:2" x14ac:dyDescent="0.4">
      <c r="A3" t="s">
        <v>14</v>
      </c>
      <c r="B3" t="b">
        <v>0</v>
      </c>
    </row>
    <row r="4" spans="1:2" x14ac:dyDescent="0.4">
      <c r="A4" t="s">
        <v>23</v>
      </c>
    </row>
    <row r="5" spans="1:2" x14ac:dyDescent="0.4">
      <c r="A5" t="s">
        <v>24</v>
      </c>
    </row>
    <row r="6" spans="1:2" x14ac:dyDescent="0.4">
      <c r="A6" t="s">
        <v>25</v>
      </c>
    </row>
    <row r="7" spans="1:2" x14ac:dyDescent="0.4">
      <c r="A7" t="s">
        <v>26</v>
      </c>
    </row>
    <row r="8" spans="1:2" x14ac:dyDescent="0.4">
      <c r="A8" t="s">
        <v>27</v>
      </c>
    </row>
    <row r="9" spans="1:2" x14ac:dyDescent="0.4">
      <c r="A9" t="s">
        <v>18</v>
      </c>
    </row>
    <row r="10" spans="1:2" x14ac:dyDescent="0.4">
      <c r="A10" t="s">
        <v>28</v>
      </c>
    </row>
    <row r="11" spans="1:2" x14ac:dyDescent="0.4">
      <c r="A11" t="s">
        <v>29</v>
      </c>
    </row>
    <row r="12" spans="1:2" x14ac:dyDescent="0.4">
      <c r="A12" t="s">
        <v>30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Rule 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Shannon Stewman</dc:creator>
  <cp:keywords/>
  <dc:description/>
  <cp:lastModifiedBy>Daniel Kaplan</cp:lastModifiedBy>
  <cp:revision/>
  <dcterms:created xsi:type="dcterms:W3CDTF">2024-07-25T15:46:30Z</dcterms:created>
  <dcterms:modified xsi:type="dcterms:W3CDTF">2026-02-04T02:28:40Z</dcterms:modified>
  <cp:category/>
  <cp:contentStatus/>
</cp:coreProperties>
</file>